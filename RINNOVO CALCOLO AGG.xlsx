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\Desktop\"/>
    </mc:Choice>
  </mc:AlternateContent>
  <xr:revisionPtr revIDLastSave="0" documentId="13_ncr:1_{68BAF792-61CB-49A6-B0CF-145E02306344}" xr6:coauthVersionLast="47" xr6:coauthVersionMax="47" xr10:uidLastSave="{00000000-0000-0000-0000-000000000000}"/>
  <bookViews>
    <workbookView xWindow="-108" yWindow="-108" windowWidth="23256" windowHeight="12456" xr2:uid="{43A340C6-5A7E-4386-A187-13505AE0BC45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5" i="2"/>
  <c r="E6" i="2"/>
  <c r="E7" i="2"/>
  <c r="E8" i="2"/>
  <c r="E9" i="2"/>
  <c r="E4" i="2"/>
  <c r="H15" i="1"/>
  <c r="E28" i="1"/>
  <c r="E5" i="1"/>
  <c r="E12" i="2" l="1"/>
  <c r="E14" i="2" s="1"/>
  <c r="E15" i="2" s="1"/>
  <c r="E13" i="1"/>
  <c r="E23" i="1" s="1"/>
  <c r="E24" i="1" s="1"/>
  <c r="E29" i="1" s="1"/>
  <c r="E30" i="1" l="1"/>
</calcChain>
</file>

<file path=xl/sharedStrings.xml><?xml version="1.0" encoding="utf-8"?>
<sst xmlns="http://schemas.openxmlformats.org/spreadsheetml/2006/main" count="52" uniqueCount="44">
  <si>
    <t>CALCOLO COSTO DI RINNOVO</t>
  </si>
  <si>
    <t>MENU Base</t>
  </si>
  <si>
    <t>Asporto</t>
  </si>
  <si>
    <t>App My Self</t>
  </si>
  <si>
    <t>App Menù Point</t>
  </si>
  <si>
    <t>Smart Cloud</t>
  </si>
  <si>
    <t>Posti di Lavoro</t>
  </si>
  <si>
    <t>Gestione Magazzino</t>
  </si>
  <si>
    <t>3D Secure</t>
  </si>
  <si>
    <t>Replica dati</t>
  </si>
  <si>
    <t>Menu Elettronico</t>
  </si>
  <si>
    <t>Gestione Portali</t>
  </si>
  <si>
    <t>CRM</t>
  </si>
  <si>
    <t>RINNOVO</t>
  </si>
  <si>
    <t>TOTALE</t>
  </si>
  <si>
    <t>sconto 20%</t>
  </si>
  <si>
    <t>Assistenza</t>
  </si>
  <si>
    <t>mensile</t>
  </si>
  <si>
    <t>TOTALI</t>
  </si>
  <si>
    <t>CASSE</t>
  </si>
  <si>
    <t>SERVER</t>
  </si>
  <si>
    <t>PASS</t>
  </si>
  <si>
    <t>KM SUSHI</t>
  </si>
  <si>
    <t>KM CUCINA</t>
  </si>
  <si>
    <t>CLIENT SALA</t>
  </si>
  <si>
    <t>POSTI DI LAVORO - CONTEGGIO</t>
  </si>
  <si>
    <t>Interfacciamento Hardware</t>
  </si>
  <si>
    <t>Software Tabacchi</t>
  </si>
  <si>
    <t>Abbon. Open Service LIGHT</t>
  </si>
  <si>
    <t>Abbon. Open Service FULL</t>
  </si>
  <si>
    <t>Remoto</t>
  </si>
  <si>
    <t>KM ALTRI</t>
  </si>
  <si>
    <t>NEGOZI</t>
  </si>
  <si>
    <t>MAGAZZINO</t>
  </si>
  <si>
    <t>ANALISI DATI PRO</t>
  </si>
  <si>
    <t>NEGOZI HOSTING</t>
  </si>
  <si>
    <t>POSTI L</t>
  </si>
  <si>
    <t>POSTI L HOSTING</t>
  </si>
  <si>
    <t>REPLICA DATI</t>
  </si>
  <si>
    <t>Abb OMADA</t>
  </si>
  <si>
    <t>TABLET</t>
  </si>
  <si>
    <t>PALMARI</t>
  </si>
  <si>
    <t>Pass Bi</t>
  </si>
  <si>
    <t>Pass Bi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</si>
</sst>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0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3" fillId="0" borderId="1" xfId="1" applyFont="1" applyBorder="1"/>
    <xf numFmtId="0" fontId="5" fillId="2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right"/>
    </xf>
    <xf numFmtId="164" fontId="0" fillId="0" borderId="8" xfId="1" applyNumberFormat="1" applyFont="1" applyBorder="1"/>
    <xf numFmtId="164" fontId="0" fillId="0" borderId="0" xfId="1" applyNumberFormat="1" applyFont="1" applyBorder="1"/>
    <xf numFmtId="164" fontId="7" fillId="0" borderId="0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7" fillId="0" borderId="3" xfId="1" applyNumberFormat="1" applyFont="1" applyBorder="1"/>
    <xf numFmtId="164" fontId="2" fillId="2" borderId="3" xfId="1" applyNumberFormat="1" applyFont="1" applyFill="1" applyBorder="1"/>
    <xf numFmtId="0" fontId="0" fillId="0" borderId="12" xfId="0" applyBorder="1"/>
    <xf numFmtId="0" fontId="9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0" xfId="1" applyNumberFormat="1" applyFont="1" applyFill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0" fillId="0" borderId="13" xfId="1" applyNumberFormat="1" applyFont="1" applyBorder="1"/>
    <xf numFmtId="164" fontId="2" fillId="0" borderId="3" xfId="1" applyNumberFormat="1" applyFont="1" applyBorder="1"/>
    <xf numFmtId="164" fontId="0" fillId="0" borderId="0" xfId="1" applyNumberFormat="1" applyFont="1"/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right" indent="1"/>
    </xf>
    <xf numFmtId="0" fontId="2" fillId="0" borderId="8" xfId="0" applyFont="1" applyBorder="1" applyAlignment="1">
      <alignment horizontal="right" indent="1"/>
    </xf>
    <xf numFmtId="0" fontId="2" fillId="0" borderId="9" xfId="0" applyFont="1" applyBorder="1" applyAlignment="1">
      <alignment horizontal="right" indent="1"/>
    </xf>
    <xf numFmtId="0" fontId="0" fillId="0" borderId="10" xfId="0" applyBorder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11" xfId="0" applyBorder="1" applyAlignment="1">
      <alignment horizontal="right" indent="1"/>
    </xf>
    <xf numFmtId="0" fontId="2" fillId="0" borderId="12" xfId="0" applyFont="1" applyBorder="1" applyAlignment="1">
      <alignment horizontal="right" indent="1"/>
    </xf>
    <xf numFmtId="0" fontId="2" fillId="0" borderId="14" xfId="0" applyFont="1" applyBorder="1" applyAlignment="1">
      <alignment horizontal="right" indent="1"/>
    </xf>
    <xf numFmtId="0" fontId="2" fillId="0" borderId="15" xfId="0" applyFont="1" applyBorder="1" applyAlignment="1">
      <alignment horizontal="right" inden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E9FD-7C7E-4B54-86A8-D1776A3BA504}">
  <dimension ref="B2:H30"/>
  <sheetViews>
    <sheetView tabSelected="1" zoomScaleNormal="100" workbookViewId="0">
      <selection activeCell="G15" sqref="G15"/>
    </sheetView>
  </sheetViews>
  <sheetFormatPr defaultRowHeight="14.4" x14ac:dyDescent="0.3"/>
  <cols>
    <col min="2" max="2" width="33" bestFit="1" customWidth="1"/>
    <col min="3" max="3" width="11.109375" bestFit="1" customWidth="1"/>
    <col min="4" max="4" width="3.88671875" bestFit="1" customWidth="1"/>
    <col min="5" max="5" width="15.109375" bestFit="1" customWidth="1"/>
    <col min="7" max="7" width="25.6640625" bestFit="1" customWidth="1"/>
    <col min="8" max="8" width="3.109375" bestFit="1" customWidth="1"/>
  </cols>
  <sheetData>
    <row r="2" spans="2:8" ht="15" thickBot="1" x14ac:dyDescent="0.35"/>
    <row r="3" spans="2:8" s="1" customFormat="1" ht="18.600000000000001" thickBot="1" x14ac:dyDescent="0.4">
      <c r="B3" s="2" t="s">
        <v>0</v>
      </c>
      <c r="C3" s="3" t="s">
        <v>13</v>
      </c>
      <c r="D3" s="3"/>
      <c r="E3" s="12" t="s">
        <v>18</v>
      </c>
      <c r="G3" s="35" t="s">
        <v>25</v>
      </c>
      <c r="H3" s="36"/>
    </row>
    <row r="4" spans="2:8" ht="15" thickBot="1" x14ac:dyDescent="0.35"/>
    <row r="5" spans="2:8" x14ac:dyDescent="0.3">
      <c r="B5" s="4" t="s">
        <v>1</v>
      </c>
      <c r="C5" s="14">
        <v>350</v>
      </c>
      <c r="D5" s="5"/>
      <c r="E5" s="17">
        <f>+C5</f>
        <v>350</v>
      </c>
      <c r="G5" s="4" t="s">
        <v>20</v>
      </c>
      <c r="H5" s="23">
        <v>1</v>
      </c>
    </row>
    <row r="6" spans="2:8" x14ac:dyDescent="0.3">
      <c r="B6" s="7" t="s">
        <v>2</v>
      </c>
      <c r="C6" s="15">
        <v>50</v>
      </c>
      <c r="E6" s="18"/>
      <c r="G6" s="7" t="s">
        <v>19</v>
      </c>
      <c r="H6" s="24"/>
    </row>
    <row r="7" spans="2:8" x14ac:dyDescent="0.3">
      <c r="B7" s="7" t="s">
        <v>3</v>
      </c>
      <c r="C7" s="15">
        <v>400</v>
      </c>
      <c r="E7" s="18"/>
      <c r="G7" s="7" t="s">
        <v>21</v>
      </c>
      <c r="H7" s="24">
        <v>2</v>
      </c>
    </row>
    <row r="8" spans="2:8" x14ac:dyDescent="0.3">
      <c r="B8" s="7" t="s">
        <v>4</v>
      </c>
      <c r="C8" s="15">
        <v>300</v>
      </c>
      <c r="E8" s="18"/>
      <c r="G8" s="7" t="s">
        <v>22</v>
      </c>
      <c r="H8" s="24">
        <v>0</v>
      </c>
    </row>
    <row r="9" spans="2:8" x14ac:dyDescent="0.3">
      <c r="B9" s="7" t="s">
        <v>5</v>
      </c>
      <c r="C9" s="15">
        <v>100</v>
      </c>
      <c r="E9" s="18">
        <v>100</v>
      </c>
      <c r="G9" s="7" t="s">
        <v>23</v>
      </c>
      <c r="H9" s="24">
        <v>0</v>
      </c>
    </row>
    <row r="10" spans="2:8" x14ac:dyDescent="0.3">
      <c r="B10" s="7" t="s">
        <v>8</v>
      </c>
      <c r="C10" s="15">
        <v>75</v>
      </c>
      <c r="E10" s="18"/>
      <c r="G10" s="7" t="s">
        <v>31</v>
      </c>
      <c r="H10" s="24"/>
    </row>
    <row r="11" spans="2:8" x14ac:dyDescent="0.3">
      <c r="B11" s="7" t="s">
        <v>42</v>
      </c>
      <c r="C11" s="15">
        <v>200</v>
      </c>
      <c r="E11" s="18">
        <v>200</v>
      </c>
      <c r="G11" s="7" t="s">
        <v>40</v>
      </c>
      <c r="H11" s="24"/>
    </row>
    <row r="12" spans="2:8" ht="15" thickBot="1" x14ac:dyDescent="0.35">
      <c r="B12" s="7"/>
      <c r="C12" s="15"/>
      <c r="E12" s="18"/>
      <c r="G12" s="7" t="s">
        <v>24</v>
      </c>
      <c r="H12" s="24">
        <v>4</v>
      </c>
    </row>
    <row r="13" spans="2:8" ht="18.600000000000001" thickBot="1" x14ac:dyDescent="0.4">
      <c r="B13" s="13" t="s">
        <v>6</v>
      </c>
      <c r="C13" s="16">
        <v>50</v>
      </c>
      <c r="D13" s="27">
        <v>4</v>
      </c>
      <c r="E13" s="19">
        <f t="shared" ref="E13" si="0">+C13*D13</f>
        <v>200</v>
      </c>
      <c r="G13" s="7" t="s">
        <v>41</v>
      </c>
      <c r="H13" s="24">
        <v>0</v>
      </c>
    </row>
    <row r="14" spans="2:8" ht="18.600000000000001" thickBot="1" x14ac:dyDescent="0.4">
      <c r="B14" s="13"/>
      <c r="C14" s="16"/>
      <c r="D14" s="28"/>
      <c r="E14" s="19"/>
      <c r="G14" s="21" t="s">
        <v>30</v>
      </c>
      <c r="H14" s="25">
        <v>0</v>
      </c>
    </row>
    <row r="15" spans="2:8" ht="15" thickBot="1" x14ac:dyDescent="0.35">
      <c r="B15" s="7" t="s">
        <v>27</v>
      </c>
      <c r="C15" s="15">
        <v>250</v>
      </c>
      <c r="E15" s="18"/>
      <c r="H15" s="22">
        <f>SUM(H5:H14)</f>
        <v>7</v>
      </c>
    </row>
    <row r="16" spans="2:8" x14ac:dyDescent="0.3">
      <c r="B16" s="7" t="s">
        <v>7</v>
      </c>
      <c r="C16" s="15">
        <v>350</v>
      </c>
      <c r="E16" s="18"/>
    </row>
    <row r="17" spans="2:5" x14ac:dyDescent="0.3">
      <c r="B17" s="7" t="s">
        <v>9</v>
      </c>
      <c r="C17" s="15">
        <v>80</v>
      </c>
      <c r="E17" s="18"/>
    </row>
    <row r="18" spans="2:5" x14ac:dyDescent="0.3">
      <c r="B18" s="7" t="s">
        <v>10</v>
      </c>
      <c r="C18" s="15">
        <v>150</v>
      </c>
      <c r="E18" s="18"/>
    </row>
    <row r="19" spans="2:5" x14ac:dyDescent="0.3">
      <c r="B19" s="7" t="s">
        <v>43</v>
      </c>
      <c r="C19" s="15">
        <v>200</v>
      </c>
      <c r="E19" s="18"/>
    </row>
    <row r="20" spans="2:5" x14ac:dyDescent="0.3">
      <c r="B20" s="7" t="s">
        <v>11</v>
      </c>
      <c r="C20" s="15">
        <v>60</v>
      </c>
      <c r="E20" s="18"/>
    </row>
    <row r="21" spans="2:5" x14ac:dyDescent="0.3">
      <c r="B21" s="7" t="s">
        <v>12</v>
      </c>
      <c r="C21" s="15">
        <v>100</v>
      </c>
      <c r="E21" s="18"/>
    </row>
    <row r="22" spans="2:5" ht="15" thickBot="1" x14ac:dyDescent="0.35">
      <c r="B22" s="7" t="s">
        <v>26</v>
      </c>
      <c r="C22" s="26">
        <v>70</v>
      </c>
      <c r="E22" s="29">
        <v>70</v>
      </c>
    </row>
    <row r="23" spans="2:5" x14ac:dyDescent="0.3">
      <c r="B23" s="10" t="s">
        <v>14</v>
      </c>
      <c r="C23" s="5"/>
      <c r="D23" s="6"/>
      <c r="E23" s="20">
        <f>SUM(E5:E22)</f>
        <v>920</v>
      </c>
    </row>
    <row r="24" spans="2:5" x14ac:dyDescent="0.3">
      <c r="B24" s="7" t="s">
        <v>15</v>
      </c>
      <c r="D24" s="8"/>
      <c r="E24" s="30">
        <f>+E23*0.8</f>
        <v>736</v>
      </c>
    </row>
    <row r="25" spans="2:5" x14ac:dyDescent="0.3">
      <c r="B25" s="7" t="s">
        <v>39</v>
      </c>
      <c r="C25" s="26">
        <v>120</v>
      </c>
      <c r="D25" s="8"/>
      <c r="E25" s="18"/>
    </row>
    <row r="26" spans="2:5" x14ac:dyDescent="0.3">
      <c r="B26" s="7" t="s">
        <v>28</v>
      </c>
      <c r="C26" s="31">
        <v>120</v>
      </c>
      <c r="D26" s="8"/>
      <c r="E26" s="18"/>
    </row>
    <row r="27" spans="2:5" x14ac:dyDescent="0.3">
      <c r="B27" s="7" t="s">
        <v>29</v>
      </c>
      <c r="C27" s="31">
        <v>180</v>
      </c>
      <c r="D27" s="8"/>
      <c r="E27" s="18"/>
    </row>
    <row r="28" spans="2:5" x14ac:dyDescent="0.3">
      <c r="B28" s="7" t="s">
        <v>16</v>
      </c>
      <c r="C28" s="31">
        <v>490</v>
      </c>
      <c r="D28" s="8"/>
      <c r="E28" s="18">
        <f>+C28</f>
        <v>490</v>
      </c>
    </row>
    <row r="29" spans="2:5" ht="15" thickBot="1" x14ac:dyDescent="0.35">
      <c r="B29" s="9" t="s">
        <v>14</v>
      </c>
      <c r="D29" s="8"/>
      <c r="E29" s="20">
        <f>+E24+E27+E28+E26+E25</f>
        <v>1226</v>
      </c>
    </row>
    <row r="30" spans="2:5" ht="24" thickBot="1" x14ac:dyDescent="0.5">
      <c r="B30" s="32" t="s">
        <v>17</v>
      </c>
      <c r="C30" s="33"/>
      <c r="D30" s="34"/>
      <c r="E30" s="11">
        <f>+E29/12</f>
        <v>102.16666666666667</v>
      </c>
    </row>
  </sheetData>
  <mergeCells count="2">
    <mergeCell ref="B30:D30"/>
    <mergeCell ref="G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9E25-EA04-4B4D-8973-B3E3F5298C16}">
  <dimension ref="B1:E15"/>
  <sheetViews>
    <sheetView workbookViewId="0">
      <selection activeCell="H15" sqref="H15"/>
    </sheetView>
  </sheetViews>
  <sheetFormatPr defaultRowHeight="14.4" x14ac:dyDescent="0.3"/>
  <cols>
    <col min="2" max="2" width="33" bestFit="1" customWidth="1"/>
    <col min="3" max="3" width="11.109375" bestFit="1" customWidth="1"/>
    <col min="4" max="4" width="3.5546875" bestFit="1" customWidth="1"/>
    <col min="5" max="5" width="14.6640625" bestFit="1" customWidth="1"/>
    <col min="6" max="6" width="8" customWidth="1"/>
    <col min="7" max="7" width="7.88671875" customWidth="1"/>
  </cols>
  <sheetData>
    <row r="1" spans="2:5" ht="15" thickBot="1" x14ac:dyDescent="0.35"/>
    <row r="2" spans="2:5" ht="18.600000000000001" thickBot="1" x14ac:dyDescent="0.4">
      <c r="B2" s="2" t="s">
        <v>0</v>
      </c>
      <c r="C2" s="3" t="s">
        <v>13</v>
      </c>
      <c r="D2" s="3"/>
      <c r="E2" s="12" t="s">
        <v>18</v>
      </c>
    </row>
    <row r="3" spans="2:5" ht="15" thickBot="1" x14ac:dyDescent="0.35"/>
    <row r="4" spans="2:5" x14ac:dyDescent="0.3">
      <c r="B4" s="4" t="s">
        <v>32</v>
      </c>
      <c r="C4" s="14">
        <v>40</v>
      </c>
      <c r="D4" s="5">
        <v>2</v>
      </c>
      <c r="E4" s="17">
        <f>+C4*D4</f>
        <v>80</v>
      </c>
    </row>
    <row r="5" spans="2:5" x14ac:dyDescent="0.3">
      <c r="B5" s="7" t="s">
        <v>36</v>
      </c>
      <c r="C5" s="15">
        <v>100</v>
      </c>
      <c r="D5">
        <v>1</v>
      </c>
      <c r="E5" s="18">
        <f t="shared" ref="E5:E10" si="0">+C5*D5</f>
        <v>100</v>
      </c>
    </row>
    <row r="6" spans="2:5" x14ac:dyDescent="0.3">
      <c r="B6" s="7" t="s">
        <v>33</v>
      </c>
      <c r="C6" s="15">
        <v>250</v>
      </c>
      <c r="D6">
        <v>0</v>
      </c>
      <c r="E6" s="18">
        <f t="shared" si="0"/>
        <v>0</v>
      </c>
    </row>
    <row r="7" spans="2:5" x14ac:dyDescent="0.3">
      <c r="B7" s="7" t="s">
        <v>34</v>
      </c>
      <c r="C7" s="15">
        <v>200</v>
      </c>
      <c r="D7">
        <v>1</v>
      </c>
      <c r="E7" s="18">
        <f t="shared" si="0"/>
        <v>200</v>
      </c>
    </row>
    <row r="8" spans="2:5" x14ac:dyDescent="0.3">
      <c r="B8" s="7" t="s">
        <v>35</v>
      </c>
      <c r="C8" s="15">
        <v>40</v>
      </c>
      <c r="D8">
        <v>2</v>
      </c>
      <c r="E8" s="18">
        <f t="shared" si="0"/>
        <v>80</v>
      </c>
    </row>
    <row r="9" spans="2:5" x14ac:dyDescent="0.3">
      <c r="B9" s="7" t="s">
        <v>37</v>
      </c>
      <c r="C9" s="15">
        <v>40</v>
      </c>
      <c r="D9">
        <v>1</v>
      </c>
      <c r="E9" s="18">
        <f t="shared" si="0"/>
        <v>40</v>
      </c>
    </row>
    <row r="10" spans="2:5" x14ac:dyDescent="0.3">
      <c r="B10" s="7" t="s">
        <v>38</v>
      </c>
      <c r="C10" s="15">
        <v>80</v>
      </c>
      <c r="E10" s="18">
        <f t="shared" si="0"/>
        <v>0</v>
      </c>
    </row>
    <row r="11" spans="2:5" ht="15" thickBot="1" x14ac:dyDescent="0.35">
      <c r="B11" s="7"/>
      <c r="C11" s="26"/>
      <c r="E11" s="29"/>
    </row>
    <row r="12" spans="2:5" x14ac:dyDescent="0.3">
      <c r="B12" s="37" t="s">
        <v>14</v>
      </c>
      <c r="C12" s="38"/>
      <c r="D12" s="39"/>
      <c r="E12" s="20">
        <f>SUM(E4:E11)</f>
        <v>500</v>
      </c>
    </row>
    <row r="13" spans="2:5" x14ac:dyDescent="0.3">
      <c r="B13" s="40" t="s">
        <v>15</v>
      </c>
      <c r="C13" s="41"/>
      <c r="D13" s="42"/>
      <c r="E13" s="30"/>
    </row>
    <row r="14" spans="2:5" ht="15" thickBot="1" x14ac:dyDescent="0.35">
      <c r="B14" s="43" t="s">
        <v>14</v>
      </c>
      <c r="C14" s="44"/>
      <c r="D14" s="45"/>
      <c r="E14" s="20">
        <f>+E12*0.8</f>
        <v>400</v>
      </c>
    </row>
    <row r="15" spans="2:5" ht="24" thickBot="1" x14ac:dyDescent="0.5">
      <c r="B15" s="32" t="s">
        <v>17</v>
      </c>
      <c r="C15" s="33"/>
      <c r="D15" s="34"/>
      <c r="E15" s="11">
        <f>+E14/12</f>
        <v>33.333333333333336</v>
      </c>
    </row>
  </sheetData>
  <mergeCells count="4">
    <mergeCell ref="B15:D15"/>
    <mergeCell ref="B12:D12"/>
    <mergeCell ref="B13:D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Davolio Recoma</dc:creator>
  <cp:lastModifiedBy>Mattia Davolio Recoma</cp:lastModifiedBy>
  <dcterms:created xsi:type="dcterms:W3CDTF">2024-11-18T13:57:38Z</dcterms:created>
  <dcterms:modified xsi:type="dcterms:W3CDTF">2025-12-10T13:27:18Z</dcterms:modified>
</cp:coreProperties>
</file>